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am\Desktop\Universidad\IA\Segundo Corte\Taller 3\"/>
    </mc:Choice>
  </mc:AlternateContent>
  <xr:revisionPtr revIDLastSave="0" documentId="13_ncr:1_{087BA288-0AE3-40D8-AEAF-74353AAE4CF1}" xr6:coauthVersionLast="47" xr6:coauthVersionMax="47" xr10:uidLastSave="{00000000-0000-0000-0000-000000000000}"/>
  <bookViews>
    <workbookView xWindow="-120" yWindow="-120" windowWidth="20640" windowHeight="11040" xr2:uid="{97C63BB2-EC3C-4650-9A00-310AB2D99836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D11" i="1"/>
  <c r="D2" i="1" s="1"/>
  <c r="D13" i="1" l="1"/>
  <c r="D15" i="1" s="1"/>
  <c r="E2" i="1"/>
  <c r="D3" i="1" l="1"/>
  <c r="E3" i="1" s="1"/>
  <c r="D4" i="1" s="1"/>
  <c r="G2" i="1"/>
  <c r="F2" i="1"/>
  <c r="G3" i="1" l="1"/>
  <c r="F3" i="1"/>
  <c r="I2" i="1"/>
  <c r="E4" i="1"/>
  <c r="D5" i="1" s="1"/>
  <c r="I3" i="1" l="1"/>
  <c r="G4" i="1"/>
  <c r="E5" i="1"/>
  <c r="D6" i="1" s="1"/>
  <c r="F4" i="1"/>
  <c r="I4" i="1" l="1"/>
  <c r="G5" i="1"/>
  <c r="E6" i="1"/>
  <c r="D7" i="1" s="1"/>
  <c r="F5" i="1"/>
  <c r="G6" i="1" l="1"/>
  <c r="E7" i="1"/>
  <c r="G7" i="1" s="1"/>
  <c r="F6" i="1"/>
  <c r="I5" i="1"/>
  <c r="G8" i="1" l="1"/>
  <c r="H6" i="1" s="1"/>
  <c r="I6" i="1"/>
  <c r="I7" i="1" s="1"/>
  <c r="F7" i="1"/>
  <c r="H8" i="1" l="1"/>
  <c r="H2" i="1"/>
  <c r="J2" i="1" s="1"/>
  <c r="H3" i="1"/>
  <c r="H4" i="1"/>
  <c r="H5" i="1"/>
  <c r="H7" i="1"/>
  <c r="J3" i="1" l="1"/>
  <c r="J4" i="1" s="1"/>
  <c r="J5" i="1" s="1"/>
  <c r="J6" i="1" s="1"/>
  <c r="J7" i="1" s="1"/>
</calcChain>
</file>

<file path=xl/sharedStrings.xml><?xml version="1.0" encoding="utf-8"?>
<sst xmlns="http://schemas.openxmlformats.org/spreadsheetml/2006/main" count="14" uniqueCount="14">
  <si>
    <t>Apps Descargadas</t>
  </si>
  <si>
    <t>LÍMITE INFERIOR</t>
  </si>
  <si>
    <t>LÍMITE SUPERIOR</t>
  </si>
  <si>
    <t>PUNTO MEDIO (MARCA DE CLASE)</t>
  </si>
  <si>
    <t>FRECUENCIA ABSOLUTA</t>
  </si>
  <si>
    <t>FRECUENCIA RELATIVA</t>
  </si>
  <si>
    <t>FRECUENCIA ACOMULADA</t>
  </si>
  <si>
    <t>FRECUENCIA RELATIVA ACUMULADA</t>
  </si>
  <si>
    <t>DATO MINIMO</t>
  </si>
  <si>
    <t>DATO MAXIMO</t>
  </si>
  <si>
    <t>RANGO</t>
  </si>
  <si>
    <t>NÚMERO DE CLASE</t>
  </si>
  <si>
    <t xml:space="preserve">ALBITRARIAMENTE </t>
  </si>
  <si>
    <t>AMPLITUD DE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</si>
</sst>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9" tint="0.59999389629810485"/>
      <name val="Times New Roman"/>
      <family val="1"/>
    </font>
    <font>
      <b/>
      <sz val="8"/>
      <color theme="9" tint="0.59999389629810485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26603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10" fontId="4" fillId="0" borderId="22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5" fillId="0" borderId="14" xfId="0" applyNumberFormat="1" applyFont="1" applyBorder="1" applyAlignment="1">
      <alignment horizontal="center" vertical="center"/>
    </xf>
    <xf numFmtId="10" fontId="5" fillId="0" borderId="15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7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10" fontId="5" fillId="0" borderId="20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2" fontId="6" fillId="0" borderId="12" xfId="0" applyNumberFormat="1" applyFont="1" applyBorder="1" applyAlignment="1">
      <alignment horizont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9" tint="0.59999389629810485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Datos-style 3" pivot="0" count="4" xr9:uid="{CB04C172-BCEC-4ED3-931F-83A01DCEC018}">
      <tableStyleElement type="wholeTable" size="0" dxfId="15"/>
      <tableStyleElement type="headerRow" dxfId="14"/>
      <tableStyleElement type="firstRowStripe" dxfId="13"/>
      <tableStyleElement type="secondRowStripe" dxfId="12"/>
    </tableStyle>
  </tableStyles>
  <colors>
    <mruColors>
      <color rgb="FF266031"/>
      <color rgb="FF1B4523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Histograma Apps</a:t>
            </a:r>
            <a:r>
              <a:rPr lang="en-US" baseline="0"/>
              <a:t> Descargados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[1]Datos!$R$1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[1]Datos!$P$2:$P$7</c:f>
              <c:numCache>
                <c:formatCode>General</c:formatCode>
                <c:ptCount val="6"/>
                <c:pt idx="0">
                  <c:v>47.1</c:v>
                </c:pt>
                <c:pt idx="1">
                  <c:v>64.2</c:v>
                </c:pt>
                <c:pt idx="2">
                  <c:v>81.300000000000011</c:v>
                </c:pt>
                <c:pt idx="3">
                  <c:v>98.4</c:v>
                </c:pt>
                <c:pt idx="4">
                  <c:v>115.5</c:v>
                </c:pt>
                <c:pt idx="5">
                  <c:v>132.6</c:v>
                </c:pt>
              </c:numCache>
            </c:numRef>
          </c:cat>
          <c:val>
            <c:numRef>
              <c:f>[1]Datos!$R$2:$R$7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6-4CBA-AA68-2B3FC1354C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"/>
        <c:overlap val="-24"/>
        <c:axId val="1802828527"/>
        <c:axId val="1802830191"/>
      </c:barChart>
      <c:catAx>
        <c:axId val="1802828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APPS DESCARGADAS</a:t>
                </a:r>
              </a:p>
            </c:rich>
          </c:tx>
          <c:layout>
            <c:manualLayout>
              <c:xMode val="edge"/>
              <c:yMode val="edge"/>
              <c:x val="0.43621544181977256"/>
              <c:y val="0.8965507436570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2830191"/>
        <c:crosses val="autoZero"/>
        <c:auto val="1"/>
        <c:lblAlgn val="ctr"/>
        <c:lblOffset val="100"/>
        <c:noMultiLvlLbl val="0"/>
      </c:catAx>
      <c:valAx>
        <c:axId val="180283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282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noFill/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Poligino</a:t>
            </a:r>
            <a:r>
              <a:rPr lang="en-US" baseline="0"/>
              <a:t> sobre punto medio (Marca de clase) y Frecuencia absoluta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noFill/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[1]Datos!$R$1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[1]Datos!$Q$2:$Q$7</c:f>
              <c:numCache>
                <c:formatCode>General</c:formatCode>
                <c:ptCount val="6"/>
                <c:pt idx="0">
                  <c:v>38.549999999999997</c:v>
                </c:pt>
                <c:pt idx="1">
                  <c:v>55.650000000000006</c:v>
                </c:pt>
                <c:pt idx="2">
                  <c:v>72.75</c:v>
                </c:pt>
                <c:pt idx="3">
                  <c:v>89.850000000000009</c:v>
                </c:pt>
                <c:pt idx="4">
                  <c:v>106.95</c:v>
                </c:pt>
                <c:pt idx="5">
                  <c:v>124.05</c:v>
                </c:pt>
              </c:numCache>
            </c:numRef>
          </c:cat>
          <c:val>
            <c:numRef>
              <c:f>[1]Datos!$R$2:$R$7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7-45EE-8B0D-9E6EDB1E1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706303"/>
        <c:axId val="1803712127"/>
      </c:lineChart>
      <c:catAx>
        <c:axId val="180370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ln>
                      <a:noFill/>
                    </a:ln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PUNTO MEDIO (MARCA DE CLASE)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ln>
                    <a:noFill/>
                  </a:ln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3712127"/>
        <c:crosses val="autoZero"/>
        <c:auto val="1"/>
        <c:lblAlgn val="ctr"/>
        <c:lblOffset val="100"/>
        <c:noMultiLvlLbl val="0"/>
      </c:catAx>
      <c:valAx>
        <c:axId val="18037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ln>
                      <a:noFill/>
                    </a:ln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 FRECUENCIA</a:t>
                </a:r>
                <a:r>
                  <a:rPr lang="es-CO" baseline="0"/>
                  <a:t> ABSOLUTA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ln>
                    <a:noFill/>
                  </a:ln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37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noFill/>
          </a:ln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OJIVA</a:t>
            </a:r>
            <a:r>
              <a:rPr lang="en-US" baseline="0"/>
              <a:t> DE NUMERO DE APPS DESCARGADOS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[1]Datos!$T$1</c:f>
              <c:strCache>
                <c:ptCount val="1"/>
                <c:pt idx="0">
                  <c:v>FRECUENCIA ACOMULADA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[1]Datos!$Q$2:$Q$7</c:f>
              <c:numCache>
                <c:formatCode>General</c:formatCode>
                <c:ptCount val="6"/>
                <c:pt idx="0">
                  <c:v>38.549999999999997</c:v>
                </c:pt>
                <c:pt idx="1">
                  <c:v>55.650000000000006</c:v>
                </c:pt>
                <c:pt idx="2">
                  <c:v>72.75</c:v>
                </c:pt>
                <c:pt idx="3">
                  <c:v>89.850000000000009</c:v>
                </c:pt>
                <c:pt idx="4">
                  <c:v>106.95</c:v>
                </c:pt>
                <c:pt idx="5">
                  <c:v>124.05</c:v>
                </c:pt>
              </c:numCache>
            </c:numRef>
          </c:cat>
          <c:val>
            <c:numRef>
              <c:f>[1]Datos!$T$2:$T$7</c:f>
              <c:numCache>
                <c:formatCode>General</c:formatCode>
                <c:ptCount val="6"/>
                <c:pt idx="0">
                  <c:v>9</c:v>
                </c:pt>
                <c:pt idx="1">
                  <c:v>15</c:v>
                </c:pt>
                <c:pt idx="2">
                  <c:v>28</c:v>
                </c:pt>
                <c:pt idx="3">
                  <c:v>38</c:v>
                </c:pt>
                <c:pt idx="4">
                  <c:v>45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4-4F3C-82B7-A6964C7CE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2541583"/>
        <c:axId val="2032547823"/>
      </c:lineChart>
      <c:catAx>
        <c:axId val="203254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2547823"/>
        <c:crosses val="autoZero"/>
        <c:auto val="1"/>
        <c:lblAlgn val="ctr"/>
        <c:lblOffset val="100"/>
        <c:noMultiLvlLbl val="0"/>
      </c:catAx>
      <c:valAx>
        <c:axId val="203254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254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14918</xdr:colOff>
      <xdr:row>15</xdr:row>
      <xdr:rowOff>62887</xdr:rowOff>
    </xdr:from>
    <xdr:to>
      <xdr:col>5</xdr:col>
      <xdr:colOff>960532</xdr:colOff>
      <xdr:row>30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3AB7C3-0E69-40D4-8C95-3D6085F70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106724</xdr:colOff>
      <xdr:row>15</xdr:row>
      <xdr:rowOff>62887</xdr:rowOff>
    </xdr:from>
    <xdr:to>
      <xdr:col>10</xdr:col>
      <xdr:colOff>161925</xdr:colOff>
      <xdr:row>30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28CD98-F841-4FB4-BFC1-391BBFD22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106311</xdr:colOff>
      <xdr:row>32</xdr:row>
      <xdr:rowOff>3045</xdr:rowOff>
    </xdr:from>
    <xdr:to>
      <xdr:col>8</xdr:col>
      <xdr:colOff>364721</xdr:colOff>
      <xdr:row>46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E6F44C-5337-4CE6-BEEA-04AE9D243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ller_destadistica_descritiva-frecuenc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</sheetNames>
    <sheetDataSet>
      <sheetData sheetId="0">
        <row r="1">
          <cell r="R1" t="str">
            <v>FRECUENCIA ABSOLUTA</v>
          </cell>
          <cell r="T1" t="str">
            <v>FRECUENCIA ACOMULADA</v>
          </cell>
        </row>
        <row r="2">
          <cell r="P2">
            <v>47.1</v>
          </cell>
          <cell r="Q2">
            <v>38.549999999999997</v>
          </cell>
          <cell r="R2">
            <v>9</v>
          </cell>
          <cell r="T2">
            <v>9</v>
          </cell>
        </row>
        <row r="3">
          <cell r="P3">
            <v>64.2</v>
          </cell>
          <cell r="Q3">
            <v>55.650000000000006</v>
          </cell>
          <cell r="R3">
            <v>6</v>
          </cell>
          <cell r="T3">
            <v>15</v>
          </cell>
        </row>
        <row r="4">
          <cell r="P4">
            <v>81.300000000000011</v>
          </cell>
          <cell r="Q4">
            <v>72.75</v>
          </cell>
          <cell r="R4">
            <v>13</v>
          </cell>
          <cell r="T4">
            <v>28</v>
          </cell>
        </row>
        <row r="5">
          <cell r="P5">
            <v>98.4</v>
          </cell>
          <cell r="Q5">
            <v>89.850000000000009</v>
          </cell>
          <cell r="R5">
            <v>10</v>
          </cell>
          <cell r="T5">
            <v>38</v>
          </cell>
        </row>
        <row r="6">
          <cell r="P6">
            <v>115.5</v>
          </cell>
          <cell r="Q6">
            <v>106.95</v>
          </cell>
          <cell r="R6">
            <v>7</v>
          </cell>
          <cell r="T6">
            <v>45</v>
          </cell>
        </row>
        <row r="7">
          <cell r="P7">
            <v>132.6</v>
          </cell>
          <cell r="Q7">
            <v>124.05</v>
          </cell>
          <cell r="R7">
            <v>5</v>
          </cell>
          <cell r="T7">
            <v>50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9F099-D373-4D82-B677-C5A7AACD4E27}" name="DATOS_CUANTITATIVOS_DESCARGA_DE_APPS" displayName="DATOS_CUANTITATIVOS_DESCARGA_DE_APPS" ref="D1:J8" headerRowDxfId="11" dataDxfId="9" totalsRowDxfId="7" headerRowBorderDxfId="10" tableBorderDxfId="8">
  <autoFilter ref="D1:J8" xr:uid="{A989F099-D373-4D82-B677-C5A7AACD4E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22DC4C8-DBA3-4E08-808E-7CFA88459780}" name="LÍMITE INFERIOR" dataDxfId="6"/>
    <tableColumn id="2" xr3:uid="{D688B933-AC11-4B0B-BA59-BE14876087C4}" name="LÍMITE SUPERIOR" dataDxfId="5"/>
    <tableColumn id="3" xr3:uid="{D9DDA695-48D9-48D1-A33E-C55341481419}" name="PUNTO MEDIO (MARCA DE CLASE)" dataDxfId="4"/>
    <tableColumn id="4" xr3:uid="{B1E0ECC6-97EE-4207-A15F-B6F4F860FABF}" name="FRECUENCIA ABSOLUTA" dataDxfId="3"/>
    <tableColumn id="5" xr3:uid="{DED2F7D0-249E-4C32-BF67-77D5A94CF056}" name="FRECUENCIA RELATIVA" dataDxfId="2">
      <calculatedColumnFormula>G2/$G$8</calculatedColumnFormula>
    </tableColumn>
    <tableColumn id="6" xr3:uid="{95EFBA34-926E-4616-813E-6F4A499A053F}" name="FRECUENCIA ACOMULADA" dataDxfId="1"/>
    <tableColumn id="7" xr3:uid="{0F67B788-2A6C-41C1-BF8A-D99FA6FDEB81}" name="FRECUENCIA RELATIVA ACUMULADA" dataDxfId="0"/>
  </tableColumns>
  <tableStyleInfo name="Datos-style 3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C039-6012-49C5-90D9-DB72EEDF2E7A}">
  <dimension ref="A1:J51"/>
  <sheetViews>
    <sheetView tabSelected="1" zoomScaleNormal="100" workbookViewId="0">
      <selection activeCell="H2" sqref="H2"/>
    </sheetView>
  </sheetViews>
  <sheetFormatPr baseColWidth="10" defaultRowHeight="15" x14ac:dyDescent="0.25"/>
  <cols>
    <col min="1" max="1" width="12" style="1" customWidth="1"/>
    <col min="3" max="3" width="20.28515625" customWidth="1"/>
    <col min="4" max="4" width="10.140625" customWidth="1"/>
    <col min="5" max="5" width="18.7109375" bestFit="1" customWidth="1"/>
    <col min="6" max="6" width="17.140625" customWidth="1"/>
    <col min="7" max="7" width="13.85546875" customWidth="1"/>
    <col min="8" max="8" width="11.85546875" bestFit="1" customWidth="1"/>
    <col min="9" max="9" width="20.42578125" customWidth="1"/>
    <col min="10" max="10" width="19.7109375" bestFit="1" customWidth="1"/>
  </cols>
  <sheetData>
    <row r="1" spans="1:10" ht="34.5" customHeight="1" thickBot="1" x14ac:dyDescent="0.3">
      <c r="A1" s="5" t="s">
        <v>0</v>
      </c>
      <c r="D1" s="6" t="s">
        <v>1</v>
      </c>
      <c r="E1" s="7" t="s">
        <v>2</v>
      </c>
      <c r="F1" s="7" t="s">
        <v>3</v>
      </c>
      <c r="G1" s="7" t="s">
        <v>4</v>
      </c>
      <c r="H1" s="8" t="s">
        <v>5</v>
      </c>
      <c r="I1" s="7" t="s">
        <v>6</v>
      </c>
      <c r="J1" s="9" t="s">
        <v>7</v>
      </c>
    </row>
    <row r="2" spans="1:10" x14ac:dyDescent="0.25">
      <c r="A2" s="2">
        <v>75</v>
      </c>
      <c r="D2" s="11">
        <f>D11</f>
        <v>30</v>
      </c>
      <c r="E2" s="12">
        <f>D2+E15</f>
        <v>47.1</v>
      </c>
      <c r="F2" s="13">
        <f>(D2+E2)/2</f>
        <v>38.549999999999997</v>
      </c>
      <c r="G2" s="13">
        <f t="shared" ref="G2:G7" si="0">COUNTIFS(A:A,"&gt;="&amp;D2,A:A, "&lt;"&amp;E2)</f>
        <v>9</v>
      </c>
      <c r="H2" s="14">
        <f t="shared" ref="H2:H8" si="1">G2/$G$8</f>
        <v>0.18</v>
      </c>
      <c r="I2" s="13">
        <f>G2</f>
        <v>9</v>
      </c>
      <c r="J2" s="15">
        <f>H2</f>
        <v>0.18</v>
      </c>
    </row>
    <row r="3" spans="1:10" x14ac:dyDescent="0.25">
      <c r="A3" s="3">
        <v>30</v>
      </c>
      <c r="D3" s="16">
        <f>E2</f>
        <v>47.1</v>
      </c>
      <c r="E3" s="17">
        <f>D3+E15</f>
        <v>64.2</v>
      </c>
      <c r="F3" s="18">
        <f t="shared" ref="F3:F7" si="2">(D3+E3)/2</f>
        <v>55.650000000000006</v>
      </c>
      <c r="G3" s="18">
        <f t="shared" si="0"/>
        <v>6</v>
      </c>
      <c r="H3" s="19">
        <f t="shared" si="1"/>
        <v>0.12</v>
      </c>
      <c r="I3" s="18">
        <f>I2+G3</f>
        <v>15</v>
      </c>
      <c r="J3" s="20">
        <f>J2+H3</f>
        <v>0.3</v>
      </c>
    </row>
    <row r="4" spans="1:10" x14ac:dyDescent="0.25">
      <c r="A4" s="2">
        <v>120</v>
      </c>
      <c r="D4" s="21">
        <f t="shared" ref="D4:D6" si="3">E3</f>
        <v>64.2</v>
      </c>
      <c r="E4" s="17">
        <f>D4+E15</f>
        <v>81.300000000000011</v>
      </c>
      <c r="F4" s="18">
        <f t="shared" si="2"/>
        <v>72.75</v>
      </c>
      <c r="G4" s="18">
        <f t="shared" si="0"/>
        <v>13</v>
      </c>
      <c r="H4" s="19">
        <f t="shared" si="1"/>
        <v>0.26</v>
      </c>
      <c r="I4" s="18">
        <f t="shared" ref="I4:J7" si="4">I3+G4</f>
        <v>28</v>
      </c>
      <c r="J4" s="20">
        <f t="shared" si="4"/>
        <v>0.56000000000000005</v>
      </c>
    </row>
    <row r="5" spans="1:10" x14ac:dyDescent="0.25">
      <c r="A5" s="3">
        <v>60</v>
      </c>
      <c r="D5" s="21">
        <f t="shared" si="3"/>
        <v>81.300000000000011</v>
      </c>
      <c r="E5" s="17">
        <f>D5+E15</f>
        <v>98.4</v>
      </c>
      <c r="F5" s="18">
        <f t="shared" si="2"/>
        <v>89.850000000000009</v>
      </c>
      <c r="G5" s="18">
        <f t="shared" si="0"/>
        <v>10</v>
      </c>
      <c r="H5" s="19">
        <f t="shared" si="1"/>
        <v>0.2</v>
      </c>
      <c r="I5" s="18">
        <f t="shared" si="4"/>
        <v>38</v>
      </c>
      <c r="J5" s="20">
        <f t="shared" si="4"/>
        <v>0.76</v>
      </c>
    </row>
    <row r="6" spans="1:10" x14ac:dyDescent="0.25">
      <c r="A6" s="2">
        <v>85</v>
      </c>
      <c r="D6" s="21">
        <f t="shared" si="3"/>
        <v>98.4</v>
      </c>
      <c r="E6" s="17">
        <f>D6+E15</f>
        <v>115.5</v>
      </c>
      <c r="F6" s="18">
        <f t="shared" si="2"/>
        <v>106.95</v>
      </c>
      <c r="G6" s="18">
        <f t="shared" si="0"/>
        <v>7</v>
      </c>
      <c r="H6" s="19">
        <f t="shared" si="1"/>
        <v>0.14000000000000001</v>
      </c>
      <c r="I6" s="18">
        <f t="shared" si="4"/>
        <v>45</v>
      </c>
      <c r="J6" s="20">
        <f t="shared" si="4"/>
        <v>0.9</v>
      </c>
    </row>
    <row r="7" spans="1:10" x14ac:dyDescent="0.25">
      <c r="A7" s="3">
        <v>45</v>
      </c>
      <c r="D7" s="16">
        <f>E6</f>
        <v>115.5</v>
      </c>
      <c r="E7" s="17">
        <f>D7+E15</f>
        <v>132.6</v>
      </c>
      <c r="F7" s="18">
        <f t="shared" si="2"/>
        <v>124.05</v>
      </c>
      <c r="G7" s="18">
        <f t="shared" si="0"/>
        <v>5</v>
      </c>
      <c r="H7" s="19">
        <f t="shared" si="1"/>
        <v>0.1</v>
      </c>
      <c r="I7" s="18">
        <f t="shared" si="4"/>
        <v>50</v>
      </c>
      <c r="J7" s="20">
        <f t="shared" si="4"/>
        <v>1</v>
      </c>
    </row>
    <row r="8" spans="1:10" x14ac:dyDescent="0.25">
      <c r="A8" s="2">
        <v>90</v>
      </c>
      <c r="D8" s="22"/>
      <c r="E8" s="23"/>
      <c r="F8" s="24"/>
      <c r="G8" s="25">
        <f>SUM(G2:G7)</f>
        <v>50</v>
      </c>
      <c r="H8" s="26">
        <f t="shared" si="1"/>
        <v>1</v>
      </c>
      <c r="I8" s="27"/>
      <c r="J8" s="28"/>
    </row>
    <row r="9" spans="1:10" x14ac:dyDescent="0.25">
      <c r="A9" s="3">
        <v>70</v>
      </c>
    </row>
    <row r="10" spans="1:10" ht="15.75" thickBot="1" x14ac:dyDescent="0.3">
      <c r="A10" s="2">
        <v>100</v>
      </c>
    </row>
    <row r="11" spans="1:10" x14ac:dyDescent="0.25">
      <c r="A11" s="3">
        <v>50</v>
      </c>
      <c r="C11" s="32" t="s">
        <v>8</v>
      </c>
      <c r="D11" s="29">
        <f>MIN(A2:A51)</f>
        <v>30</v>
      </c>
      <c r="E11" s="1"/>
    </row>
    <row r="12" spans="1:10" x14ac:dyDescent="0.25">
      <c r="A12" s="2">
        <v>110</v>
      </c>
      <c r="C12" s="33" t="s">
        <v>9</v>
      </c>
      <c r="D12" s="30">
        <f>MAX(A2:A51)</f>
        <v>132</v>
      </c>
      <c r="E12" s="1"/>
    </row>
    <row r="13" spans="1:10" ht="15.75" thickBot="1" x14ac:dyDescent="0.3">
      <c r="A13" s="3">
        <v>65</v>
      </c>
      <c r="C13" s="33" t="s">
        <v>10</v>
      </c>
      <c r="D13" s="30">
        <f>D12-D11</f>
        <v>102</v>
      </c>
      <c r="E13" s="1"/>
    </row>
    <row r="14" spans="1:10" x14ac:dyDescent="0.25">
      <c r="A14" s="2">
        <v>80</v>
      </c>
      <c r="C14" s="33" t="s">
        <v>11</v>
      </c>
      <c r="D14" s="30">
        <v>6</v>
      </c>
      <c r="E14" s="35" t="s">
        <v>12</v>
      </c>
    </row>
    <row r="15" spans="1:10" ht="20.25" customHeight="1" thickBot="1" x14ac:dyDescent="0.3">
      <c r="A15" s="3">
        <v>35</v>
      </c>
      <c r="C15" s="34" t="s">
        <v>13</v>
      </c>
      <c r="D15" s="31">
        <f>D13/D14</f>
        <v>17</v>
      </c>
      <c r="E15" s="10">
        <v>17.100000000000001</v>
      </c>
    </row>
    <row r="16" spans="1:10" x14ac:dyDescent="0.25">
      <c r="A16" s="2">
        <v>95</v>
      </c>
    </row>
    <row r="17" spans="1:1" x14ac:dyDescent="0.25">
      <c r="A17" s="3">
        <v>70</v>
      </c>
    </row>
    <row r="18" spans="1:1" x14ac:dyDescent="0.25">
      <c r="A18" s="2">
        <v>40</v>
      </c>
    </row>
    <row r="19" spans="1:1" x14ac:dyDescent="0.25">
      <c r="A19" s="3">
        <v>130</v>
      </c>
    </row>
    <row r="20" spans="1:1" x14ac:dyDescent="0.25">
      <c r="A20" s="2">
        <v>105</v>
      </c>
    </row>
    <row r="21" spans="1:1" x14ac:dyDescent="0.25">
      <c r="A21" s="3">
        <v>80</v>
      </c>
    </row>
    <row r="22" spans="1:1" x14ac:dyDescent="0.25">
      <c r="A22" s="2">
        <v>72</v>
      </c>
    </row>
    <row r="23" spans="1:1" x14ac:dyDescent="0.25">
      <c r="A23" s="3">
        <v>33</v>
      </c>
    </row>
    <row r="24" spans="1:1" x14ac:dyDescent="0.25">
      <c r="A24" s="2">
        <v>125</v>
      </c>
    </row>
    <row r="25" spans="1:1" x14ac:dyDescent="0.25">
      <c r="A25" s="3">
        <v>63</v>
      </c>
    </row>
    <row r="26" spans="1:1" x14ac:dyDescent="0.25">
      <c r="A26" s="2">
        <v>88</v>
      </c>
    </row>
    <row r="27" spans="1:1" x14ac:dyDescent="0.25">
      <c r="A27" s="3">
        <v>48</v>
      </c>
    </row>
    <row r="28" spans="1:1" x14ac:dyDescent="0.25">
      <c r="A28" s="2">
        <v>92</v>
      </c>
    </row>
    <row r="29" spans="1:1" x14ac:dyDescent="0.25">
      <c r="A29" s="3">
        <v>73</v>
      </c>
    </row>
    <row r="30" spans="1:1" x14ac:dyDescent="0.25">
      <c r="A30" s="2">
        <v>103</v>
      </c>
    </row>
    <row r="31" spans="1:1" x14ac:dyDescent="0.25">
      <c r="A31" s="3">
        <v>52</v>
      </c>
    </row>
    <row r="32" spans="1:1" x14ac:dyDescent="0.25">
      <c r="A32" s="2">
        <v>112</v>
      </c>
    </row>
    <row r="33" spans="1:1" x14ac:dyDescent="0.25">
      <c r="A33" s="3">
        <v>68</v>
      </c>
    </row>
    <row r="34" spans="1:1" x14ac:dyDescent="0.25">
      <c r="A34" s="2">
        <v>82</v>
      </c>
    </row>
    <row r="35" spans="1:1" x14ac:dyDescent="0.25">
      <c r="A35" s="3">
        <v>38</v>
      </c>
    </row>
    <row r="36" spans="1:1" x14ac:dyDescent="0.25">
      <c r="A36" s="2">
        <v>98</v>
      </c>
    </row>
    <row r="37" spans="1:1" x14ac:dyDescent="0.25">
      <c r="A37" s="3">
        <v>71</v>
      </c>
    </row>
    <row r="38" spans="1:1" x14ac:dyDescent="0.25">
      <c r="A38" s="2">
        <v>42</v>
      </c>
    </row>
    <row r="39" spans="1:1" x14ac:dyDescent="0.25">
      <c r="A39" s="3">
        <v>132</v>
      </c>
    </row>
    <row r="40" spans="1:1" x14ac:dyDescent="0.25">
      <c r="A40" s="2">
        <v>107</v>
      </c>
    </row>
    <row r="41" spans="1:1" x14ac:dyDescent="0.25">
      <c r="A41" s="3">
        <v>83</v>
      </c>
    </row>
    <row r="42" spans="1:1" x14ac:dyDescent="0.25">
      <c r="A42" s="2">
        <v>78</v>
      </c>
    </row>
    <row r="43" spans="1:1" x14ac:dyDescent="0.25">
      <c r="A43" s="3">
        <v>36</v>
      </c>
    </row>
    <row r="44" spans="1:1" x14ac:dyDescent="0.25">
      <c r="A44" s="2">
        <v>128</v>
      </c>
    </row>
    <row r="45" spans="1:1" x14ac:dyDescent="0.25">
      <c r="A45" s="3">
        <v>65</v>
      </c>
    </row>
    <row r="46" spans="1:1" x14ac:dyDescent="0.25">
      <c r="A46" s="2">
        <v>90</v>
      </c>
    </row>
    <row r="47" spans="1:1" x14ac:dyDescent="0.25">
      <c r="A47" s="3">
        <v>47</v>
      </c>
    </row>
    <row r="48" spans="1:1" x14ac:dyDescent="0.25">
      <c r="A48" s="2">
        <v>95</v>
      </c>
    </row>
    <row r="49" spans="1:1" x14ac:dyDescent="0.25">
      <c r="A49" s="3">
        <v>75</v>
      </c>
    </row>
    <row r="50" spans="1:1" x14ac:dyDescent="0.25">
      <c r="A50" s="2">
        <v>105</v>
      </c>
    </row>
    <row r="51" spans="1:1" ht="15.75" thickBot="1" x14ac:dyDescent="0.3">
      <c r="A51" s="4">
        <v>55</v>
      </c>
    </row>
  </sheetData>
  <dataValidations count="1">
    <dataValidation type="custom" allowBlank="1" showDropDown="1" sqref="A2:A51 D2:E8 G2:J8" xr:uid="{54EFF731-C56D-4EF4-910E-700D2C1607AF}">
      <formula1>AND(ISNUMBER(A2),(NOT(OR(NOT(ISERROR(DATEVALUE(A2))), AND(ISNUMBER(A2), LEFT(CELL("format", A2))="D")))))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Murillo</dc:creator>
  <cp:lastModifiedBy>Jhoan Murillo</cp:lastModifiedBy>
  <cp:lastPrinted>2026-06-14T19:38:29Z</cp:lastPrinted>
  <dcterms:created xsi:type="dcterms:W3CDTF">2026-06-14T19:17:11Z</dcterms:created>
  <dcterms:modified xsi:type="dcterms:W3CDTF">2026-06-14T19:49:36Z</dcterms:modified>
</cp:coreProperties>
</file>